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85b91d6d9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pection" sheetId="1" r:id="R9298155aee954a25"/>
    <x:sheet xmlns:r="http://schemas.openxmlformats.org/officeDocument/2006/relationships" name="Trend" sheetId="2" r:id="R5e01b04cee124035"/>
    <x:sheet xmlns:r="http://schemas.openxmlformats.org/officeDocument/2006/relationships" name="Summary" sheetId="3" r:id="R6a1a404f058447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6B728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10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9a9ce64e774f5c" /><Relationship Type="http://schemas.openxmlformats.org/officeDocument/2006/relationships/theme" Target="/xl/theme/theme1.xml" Id="Rb696c84a6f0e4343" /><Relationship Type="http://schemas.openxmlformats.org/officeDocument/2006/relationships/sharedStrings" Target="/xl/sharedStrings.xml" Id="Rbed2015c86bd4327" /><Relationship Type="http://schemas.openxmlformats.org/officeDocument/2006/relationships/worksheet" Target="/xl/worksheets/sheet1.xml" Id="R9298155aee954a25" /><Relationship Type="http://schemas.openxmlformats.org/officeDocument/2006/relationships/worksheet" Target="/xl/worksheets/sheet2.xml" Id="R5e01b04cee124035" /><Relationship Type="http://schemas.openxmlformats.org/officeDocument/2006/relationships/worksheet" Target="/xl/worksheets/sheet3.xml" Id="R6a1a404f058447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2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Incoming Inspection Metrics</x:v>
      </x:c>
      <x:c r="B1" s="4"/>
      <x:c r="C1" s="4"/>
      <x:c r="D1" s="4"/>
      <x:c r="E1" s="4"/>
      <x:c r="F1" s="4"/>
      <x:c r="G1" s="4"/>
    </x:row>
    <x:row r="2">
      <x:c r="A2" s="12" t="str">
        <x:v>Lot</x:v>
      </x:c>
      <x:c r="B2" s="12" t="str">
        <x:v>Supplier</x:v>
      </x:c>
      <x:c r="C2" s="12" t="str">
        <x:v>Material</x:v>
      </x:c>
      <x:c r="D2" s="12" t="str">
        <x:v>Checked Qty</x:v>
      </x:c>
      <x:c r="E2" s="12" t="str">
        <x:v>Pass Qty</x:v>
      </x:c>
      <x:c r="F2" s="12" t="str">
        <x:v>Pass Rate</x:v>
      </x:c>
      <x:c r="G2" s="12" t="str">
        <x:v>Status</x:v>
      </x:c>
    </x:row>
    <x:row r="3">
      <x:c r="A3" s="7" t="str">
        <x:v>LOT-2406-014</x:v>
      </x:c>
      <x:c r="B3" s="7" t="str">
        <x:v>East Alloy</x:v>
      </x:c>
      <x:c r="C3" s="7" t="str">
        <x:v>AL-6061 bar</x:v>
      </x:c>
      <x:c r="D3" s="8" t="n">
        <x:v>120</x:v>
      </x:c>
      <x:c r="E3" s="8" t="n">
        <x:v>118</x:v>
      </x:c>
      <x:c r="F3" s="9" t="n">
        <x:f>E3/D3</x:f>
        <x:v>0.9833333333333333</x:v>
      </x:c>
      <x:c r="G3" s="7" t="str">
        <x:v>Released</x:v>
      </x:c>
    </x:row>
    <x:row r="4">
      <x:c r="A4" s="7" t="str">
        <x:v>LOT-2406-015</x:v>
      </x:c>
      <x:c r="B4" s="7" t="str">
        <x:v>North Fastener</x:v>
      </x:c>
      <x:c r="C4" s="7" t="str">
        <x:v>M6 bolt</x:v>
      </x:c>
      <x:c r="D4" s="8" t="n">
        <x:v>500</x:v>
      </x:c>
      <x:c r="E4" s="8" t="n">
        <x:v>492</x:v>
      </x:c>
      <x:c r="F4" s="9" t="n">
        <x:f>E4/D4</x:f>
        <x:v>0.984</x:v>
      </x:c>
      <x:c r="G4" s="7" t="str">
        <x:v>Hold</x:v>
      </x:c>
    </x:row>
    <x:row r="5">
      <x:c r="A5" s="7" t="str">
        <x:v>LOT-2406-016</x:v>
      </x:c>
      <x:c r="B5" s="7" t="str">
        <x:v>Delta Resin</x:v>
      </x:c>
      <x:c r="C5" s="7" t="str">
        <x:v>ABS pellet</x:v>
      </x:c>
      <x:c r="D5" s="8" t="n">
        <x:v>260</x:v>
      </x:c>
      <x:c r="E5" s="8" t="n">
        <x:v>260</x:v>
      </x:c>
      <x:c r="F5" s="9" t="n">
        <x:f>E5/D5</x:f>
        <x:v>1</x:v>
      </x:c>
      <x:c r="G5" s="7" t="str">
        <x:v>Released</x:v>
      </x:c>
    </x:row>
    <x:row r="6">
      <x:c r="A6" s="7" t="str">
        <x:v>LOT-2406-017</x:v>
      </x:c>
      <x:c r="B6" s="7" t="str">
        <x:v>Shinwa Paint</x:v>
      </x:c>
      <x:c r="C6" s="7" t="str">
        <x:v>Primer</x:v>
      </x:c>
      <x:c r="D6" s="8" t="n">
        <x:v>80</x:v>
      </x:c>
      <x:c r="E6" s="8" t="n">
        <x:v>76</x:v>
      </x:c>
      <x:c r="F6" s="9" t="n">
        <x:f>E6/D6</x:f>
        <x:v>0.95</x:v>
      </x:c>
      <x:c r="G6" s="7" t="str">
        <x:v>Review</x:v>
      </x:c>
    </x:row>
    <x:row r="7">
      <x:c r="A7" s="7" t="str">
        <x:v>LOT-2406-018</x:v>
      </x:c>
      <x:c r="B7" s="7" t="str">
        <x:v>East Alloy</x:v>
      </x:c>
      <x:c r="C7" s="7" t="str">
        <x:v>AL-5052 sheet</x:v>
      </x:c>
      <x:c r="D7" s="8" t="n">
        <x:v>160</x:v>
      </x:c>
      <x:c r="E7" s="8" t="n">
        <x:v>159</x:v>
      </x:c>
      <x:c r="F7" s="9" t="n">
        <x:f>E7/D7</x:f>
        <x:v>0.99375</x:v>
      </x:c>
      <x:c r="G7" s="7" t="str">
        <x:v>Released</x:v>
      </x:c>
    </x:row>
    <x:row r="8">
      <x:c r="A8" s="7" t="str">
        <x:v>LOT-2406-019</x:v>
      </x:c>
      <x:c r="B8" s="7" t="str">
        <x:v>North Fastener</x:v>
      </x:c>
      <x:c r="C8" s="7" t="str">
        <x:v>M8 nut</x:v>
      </x:c>
      <x:c r="D8" s="8" t="n">
        <x:v>450</x:v>
      </x:c>
      <x:c r="E8" s="8" t="n">
        <x:v>446</x:v>
      </x:c>
      <x:c r="F8" s="9" t="n">
        <x:f>E8/D8</x:f>
        <x:v>0.9911111111111112</x:v>
      </x:c>
      <x:c r="G8" s="7" t="str">
        <x:v>Released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2" hidden="0" customWidth="1"/>
    <x:col min="6" max="6" width="14" hidden="0" customWidth="1"/>
    <x:col min="7" max="7" width="18" hidden="0" customWidth="1"/>
  </x:cols>
  <x:sheetData>
    <x:row r="1" ht="28" customHeight="1">
      <x:c r="A1" s="4" t="str">
        <x:v>Weekly Quality Trend</x:v>
      </x:c>
      <x:c r="B1" s="4"/>
      <x:c r="C1" s="4"/>
      <x:c r="D1" s="4"/>
      <x:c r="E1" s="4"/>
      <x:c r="F1" s="4"/>
      <x:c r="G1" s="4"/>
    </x:row>
    <x:row r="2">
      <x:c r="A2" s="12" t="str">
        <x:v>Week</x:v>
      </x:c>
      <x:c r="B2" s="12" t="str">
        <x:v>Lots</x:v>
      </x:c>
      <x:c r="C2" s="12" t="str">
        <x:v>Defects</x:v>
      </x:c>
      <x:c r="D2" s="12" t="str">
        <x:v>Rework</x:v>
      </x:c>
      <x:c r="E2" s="12" t="str">
        <x:v>Scrap</x:v>
      </x:c>
      <x:c r="F2" s="12" t="str">
        <x:v>Pass Rate</x:v>
      </x:c>
      <x:c r="G2" s="12" t="str">
        <x:v>Notes</x:v>
      </x:c>
    </x:row>
    <x:row r="3">
      <x:c r="A3" s="7" t="str">
        <x:v>2026-W22</x:v>
      </x:c>
      <x:c r="B3" s="8" t="n">
        <x:v>21</x:v>
      </x:c>
      <x:c r="C3" s="8" t="n">
        <x:v>12</x:v>
      </x:c>
      <x:c r="D3" s="8" t="n">
        <x:v>7</x:v>
      </x:c>
      <x:c r="E3" s="8" t="n">
        <x:v>2</x:v>
      </x:c>
      <x:c r="F3" s="9" t="n">
        <x:v>0.986</x:v>
      </x:c>
      <x:c r="G3" s="7" t="str">
        <x:v>Stable</x:v>
      </x:c>
    </x:row>
    <x:row r="4">
      <x:c r="A4" s="7" t="str">
        <x:v>2026-W23</x:v>
      </x:c>
      <x:c r="B4" s="8" t="n">
        <x:v>24</x:v>
      </x:c>
      <x:c r="C4" s="8" t="n">
        <x:v>17</x:v>
      </x:c>
      <x:c r="D4" s="8" t="n">
        <x:v>9</x:v>
      </x:c>
      <x:c r="E4" s="8" t="n">
        <x:v>3</x:v>
      </x:c>
      <x:c r="F4" s="9" t="n">
        <x:v>0.982</x:v>
      </x:c>
      <x:c r="G4" s="7" t="str">
        <x:v>Paint review</x:v>
      </x:c>
    </x:row>
    <x:row r="5">
      <x:c r="A5" s="7" t="str">
        <x:v>2026-W24</x:v>
      </x:c>
      <x:c r="B5" s="8" t="n">
        <x:v>23</x:v>
      </x:c>
      <x:c r="C5" s="8" t="n">
        <x:v>10</x:v>
      </x:c>
      <x:c r="D5" s="8" t="n">
        <x:v>6</x:v>
      </x:c>
      <x:c r="E5" s="8" t="n">
        <x:v>1</x:v>
      </x:c>
      <x:c r="F5" s="9" t="n">
        <x:v>0.991</x:v>
      </x:c>
      <x:c r="G5" s="7" t="str">
        <x:v>Improved</x:v>
      </x:c>
    </x:row>
    <x:row r="6">
      <x:c r="A6" s="7" t="str">
        <x:v>2026-W25</x:v>
      </x:c>
      <x:c r="B6" s="8" t="n">
        <x:v>26</x:v>
      </x:c>
      <x:c r="C6" s="8" t="n">
        <x:v>14</x:v>
      </x:c>
      <x:c r="D6" s="8" t="n">
        <x:v>8</x:v>
      </x:c>
      <x:c r="E6" s="8" t="n">
        <x:v>2</x:v>
      </x:c>
      <x:c r="F6" s="9" t="n">
        <x:v>0.988</x:v>
      </x:c>
      <x:c r="G6" s="7" t="str">
        <x:v>Supplier watch</x:v>
      </x:c>
    </x:row>
    <x:row r="7">
      <x:c r="A7" s="7" t="str">
        <x:v>2026-W26</x:v>
      </x:c>
      <x:c r="B7" s="8" t="n">
        <x:v>25</x:v>
      </x:c>
      <x:c r="C7" s="8" t="n">
        <x:v>9</x:v>
      </x:c>
      <x:c r="D7" s="8" t="n">
        <x:v>5</x:v>
      </x:c>
      <x:c r="E7" s="8" t="n">
        <x:v>1</x:v>
      </x:c>
      <x:c r="F7" s="9" t="n">
        <x:v>0.993</x:v>
      </x:c>
      <x:c r="G7" s="7" t="str">
        <x:v>Best week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" t="str">
        <x:v>Inspection Summary</x:v>
      </x:c>
      <x:c r="B1" s="4"/>
      <x:c r="C1" s="4"/>
      <x:c r="D1" s="4"/>
      <x:c r="E1" s="4"/>
      <x:c r="F1" s="4"/>
      <x:c r="G1" s="4"/>
    </x:row>
    <x:row r="3">
      <x:c r="A3" s="11" t="str">
        <x:v>Metric</x:v>
      </x:c>
      <x:c r="B3" s="11" t="str">
        <x:v>Value</x:v>
      </x:c>
      <x:c r="D3" s="17" t="str">
        <x:v>Reviewer Note</x:v>
      </x:c>
      <x:c r="E3" s="18"/>
      <x:c r="F3" s="18"/>
      <x:c r="G3" s="19"/>
    </x:row>
    <x:row r="4" ht="42" customHeight="1">
      <x:c r="A4" s="7" t="str">
        <x:v>Total lots</x:v>
      </x:c>
      <x:c r="B4" s="8" t="n">
        <x:f>COUNTA('Inspection'!A3:A8)</x:f>
        <x:v>6</x:v>
      </x:c>
      <x:c r="D4" s="20" t="str">
        <x:v>This workbook intentionally includes multiple sheets so the FilePreview toolbar can demonstrate sheet navigation.</x:v>
      </x:c>
      <x:c r="E4" s="16"/>
      <x:c r="F4" s="16"/>
      <x:c r="G4" s="21"/>
    </x:row>
    <x:row r="5" ht="42" customHeight="1">
      <x:c r="A5" s="7" t="str">
        <x:v>Checked quantity</x:v>
      </x:c>
      <x:c r="B5" s="8" t="n">
        <x:f>SUM('Inspection'!D3:D8)</x:f>
        <x:v>1570</x:v>
      </x:c>
      <x:c r="D5" s="20" t="str">
        <x:v>Use the preview arrows to switch between Inspection, Trend, and Summary without exposing storage or API details.</x:v>
      </x:c>
      <x:c r="E5" s="16"/>
      <x:c r="F5" s="16"/>
      <x:c r="G5" s="21"/>
    </x:row>
    <x:row r="6">
      <x:c r="A6" s="7" t="str">
        <x:v>Average pass rate</x:v>
      </x:c>
      <x:c r="B6" s="9" t="n">
        <x:f>AVERAGE('Inspection'!F3:F8)</x:f>
        <x:v>0.9836990740740742</x:v>
      </x:c>
      <x:c r="D6" s="20"/>
      <x:c r="E6" s="16"/>
      <x:c r="F6" s="16"/>
      <x:c r="G6" s="21"/>
    </x:row>
    <x:row r="7">
      <x:c r="A7" s="7" t="str">
        <x:v>Lots needing action</x:v>
      </x:c>
      <x:c r="B7" s="8" t="n">
        <x:f>COUNTIF('Inspection'!G3:G8,"&lt;&gt;Released")</x:f>
        <x:v>2</x:v>
      </x:c>
      <x:c r="D7" s="22" t="str">
        <x:v>Source</x:v>
      </x:c>
      <x:c r="E7" s="23" t="str">
        <x:v>Generated design-system sample</x:v>
      </x:c>
      <x:c r="F7" s="23"/>
      <x:c r="G7" s="24"/>
    </x:row>
  </x:sheetData>
  <x:mergeCells>
    <x:mergeCell ref="A1:G1"/>
    <x:mergeCell ref="D3:G3"/>
    <x:mergeCell ref="D4:G4"/>
    <x:mergeCell ref="D5:G5"/>
    <x:mergeCell ref="D7:G7"/>
  </x:mergeCells>
  <x:pageMargins left="0.7" right="0.7" top="0.75" bottom="0.75" header="0.3" footer="0.3"/>
</x:worksheet>
</file>